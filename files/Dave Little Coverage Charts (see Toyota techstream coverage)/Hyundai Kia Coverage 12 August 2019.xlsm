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s &amp; Technicians\DML\EDR Stuff\"/>
    </mc:Choice>
  </mc:AlternateContent>
  <xr:revisionPtr revIDLastSave="0" documentId="13_ncr:1_{7C33ECFC-8D48-4570-BB02-8EC10F36E894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Hyundai Kia" sheetId="1" r:id="rId1"/>
    <sheet name="(EDR Title)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DML</author>
    <author>User</author>
    <author>tc={E3707F55-A23C-40F7-8F58-D1B3237F3FFC}</author>
  </authors>
  <commentList>
    <comment ref="E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The 2012 Accent precrash speed data was not populated from -5.0 to -0.5 in NHTSA crash tests, it was only populated at 0.0 but it was accurate.
However, download for BME 10079 showed all speed data.</t>
        </r>
      </text>
    </comment>
    <comment ref="D6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Spoofed OK. See Collision and CDR Summit 2014</t>
        </r>
      </text>
    </comment>
    <comment ref="C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Unable to download 2010 Elantra 4 dr</t>
        </r>
      </text>
    </comment>
    <comment ref="I9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08778: ACM said MDA, not MD</t>
        </r>
      </text>
    </comment>
    <comment ref="E1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Downloaded as 2014 Genesis</t>
        </r>
      </text>
    </comment>
    <comment ref="D39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Attempted with 09579. Cable #10 and 2013 Forte VIN. No luck</t>
        </r>
      </text>
    </comment>
    <comment ref="G40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Downloaded as Rio</t>
        </r>
      </text>
    </comment>
    <comment ref="C45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the 2010/2011 Kia Soul Delta V data was inaccurate in offset and scale factor in NHTSA crash tests, but speed data was accurate</t>
        </r>
      </text>
    </comment>
    <comment ref="D45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DML:</t>
        </r>
        <r>
          <rPr>
            <sz val="9"/>
            <color indexed="81"/>
            <rFont val="Tahoma"/>
            <family val="2"/>
          </rPr>
          <t xml:space="preserve">
the 2010/2011 Kia Soul Delta V data was inaccurate in offset and scale factor in NHTSA crash tests, but speed data was accurate</t>
        </r>
      </text>
    </comment>
    <comment ref="M46" authorId="2" shapeId="0" xr:uid="{00000000-0006-0000-0100-00000A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BME 10122. Could be different module</t>
      </text>
    </comment>
    <comment ref="B47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2009 Sportage has module 95910-1F110, type KM. Completely different style connector - thinner. Does not fit any cables.</t>
        </r>
      </text>
    </comment>
  </commentList>
</comments>
</file>

<file path=xl/sharedStrings.xml><?xml version="1.0" encoding="utf-8"?>
<sst xmlns="http://schemas.openxmlformats.org/spreadsheetml/2006/main" count="251" uniqueCount="145">
  <si>
    <t>Accent</t>
  </si>
  <si>
    <t>Azera</t>
  </si>
  <si>
    <t>Elantra</t>
  </si>
  <si>
    <t>Equus</t>
  </si>
  <si>
    <t>Genesis</t>
  </si>
  <si>
    <t>Forte</t>
  </si>
  <si>
    <t>Rio</t>
  </si>
  <si>
    <t>Sorento</t>
  </si>
  <si>
    <t>Soul</t>
  </si>
  <si>
    <t>Veloster</t>
  </si>
  <si>
    <t>Cadenza</t>
  </si>
  <si>
    <t>Sedona</t>
  </si>
  <si>
    <t>Optima Hybrid</t>
  </si>
  <si>
    <t>Elantra Coupe</t>
  </si>
  <si>
    <t>Genesis Coupe</t>
  </si>
  <si>
    <t>Sonata Hybrid</t>
  </si>
  <si>
    <t>Official Tool Coverage</t>
  </si>
  <si>
    <t>No Official Tool Coverage</t>
  </si>
  <si>
    <t>Spoof, possibly with errors</t>
  </si>
  <si>
    <t>?</t>
  </si>
  <si>
    <t>No</t>
  </si>
  <si>
    <t>Optima (Sonata Sister)</t>
  </si>
  <si>
    <t>Sonata (Optima sister)</t>
  </si>
  <si>
    <t>Tucson (Sportage sister)</t>
  </si>
  <si>
    <t>Sportage (Tucson sister)</t>
  </si>
  <si>
    <t>K900</t>
  </si>
  <si>
    <t>(VG)</t>
  </si>
  <si>
    <t>(YD)</t>
  </si>
  <si>
    <t>Forte/ Forte Koup</t>
  </si>
  <si>
    <t>(KH)</t>
  </si>
  <si>
    <t>(TF/QF)</t>
  </si>
  <si>
    <t>(TF HEV)</t>
  </si>
  <si>
    <t>(UB)</t>
  </si>
  <si>
    <t>(VQ)</t>
  </si>
  <si>
    <t>(XM)</t>
  </si>
  <si>
    <t>(AM)</t>
  </si>
  <si>
    <t>(PS)</t>
  </si>
  <si>
    <t>(SL)</t>
  </si>
  <si>
    <t>(RB)</t>
  </si>
  <si>
    <t>(HG)</t>
  </si>
  <si>
    <t>(JK)</t>
  </si>
  <si>
    <t>(GD)</t>
  </si>
  <si>
    <t>(VI)</t>
  </si>
  <si>
    <t>(BH)</t>
  </si>
  <si>
    <t>(DH)</t>
  </si>
  <si>
    <t>(BK)</t>
  </si>
  <si>
    <t>Santa Fe Sport</t>
  </si>
  <si>
    <t>(DMA)</t>
  </si>
  <si>
    <t>(NC)</t>
  </si>
  <si>
    <t xml:space="preserve">Santa Fe </t>
  </si>
  <si>
    <t>(YF HEV)</t>
  </si>
  <si>
    <t>Sonata</t>
  </si>
  <si>
    <t>(YF)</t>
  </si>
  <si>
    <t>(FS)</t>
  </si>
  <si>
    <t>N/A</t>
  </si>
  <si>
    <t>(TD)</t>
  </si>
  <si>
    <t>Sept 1,2012 = MY2013</t>
  </si>
  <si>
    <t>HYUNDAI</t>
  </si>
  <si>
    <t>KIA</t>
  </si>
  <si>
    <t>9 (shave)</t>
  </si>
  <si>
    <r>
      <rPr>
        <b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>: 95910-1W600</t>
    </r>
  </si>
  <si>
    <r>
      <rPr>
        <b/>
        <sz val="11"/>
        <color theme="1"/>
        <rFont val="Calibri"/>
        <family val="2"/>
        <scheme val="minor"/>
      </rPr>
      <t>Cable #</t>
    </r>
    <r>
      <rPr>
        <sz val="11"/>
        <color theme="1"/>
        <rFont val="Calibri"/>
        <family val="2"/>
        <scheme val="minor"/>
      </rPr>
      <t xml:space="preserve"> and ACM Part # shown</t>
    </r>
  </si>
  <si>
    <r>
      <t xml:space="preserve">7: </t>
    </r>
    <r>
      <rPr>
        <sz val="11"/>
        <color theme="1"/>
        <rFont val="Calibri"/>
        <family val="2"/>
        <scheme val="minor"/>
      </rPr>
      <t>95910 - 4Z000</t>
    </r>
  </si>
  <si>
    <r>
      <t>7:</t>
    </r>
    <r>
      <rPr>
        <sz val="11"/>
        <color theme="1"/>
        <rFont val="Calibri"/>
        <family val="2"/>
        <scheme val="minor"/>
      </rPr>
      <t xml:space="preserve"> 95910 - B8050</t>
    </r>
  </si>
  <si>
    <r>
      <t xml:space="preserve">10: </t>
    </r>
    <r>
      <rPr>
        <sz val="11"/>
        <color theme="1"/>
        <rFont val="Calibri"/>
        <family val="2"/>
        <scheme val="minor"/>
      </rPr>
      <t>95910 - 1M150</t>
    </r>
  </si>
  <si>
    <r>
      <t>6:</t>
    </r>
    <r>
      <rPr>
        <sz val="11"/>
        <color theme="1"/>
        <rFont val="Calibri"/>
        <family val="2"/>
        <scheme val="minor"/>
      </rPr>
      <t xml:space="preserve"> 95910-A5100</t>
    </r>
  </si>
  <si>
    <r>
      <t>5:</t>
    </r>
    <r>
      <rPr>
        <sz val="11"/>
        <color theme="1"/>
        <rFont val="Calibri"/>
        <family val="2"/>
        <scheme val="minor"/>
      </rPr>
      <t xml:space="preserve"> 95910-1R100</t>
    </r>
  </si>
  <si>
    <r>
      <t>9 (shave):</t>
    </r>
    <r>
      <rPr>
        <sz val="11"/>
        <color theme="1"/>
        <rFont val="Calibri"/>
        <family val="2"/>
        <scheme val="minor"/>
      </rPr>
      <t>95910-2M200</t>
    </r>
  </si>
  <si>
    <r>
      <t>13:</t>
    </r>
    <r>
      <rPr>
        <sz val="11"/>
        <color theme="1"/>
        <rFont val="Calibri"/>
        <family val="2"/>
        <scheme val="minor"/>
      </rPr>
      <t xml:space="preserve"> 95910-B1000</t>
    </r>
  </si>
  <si>
    <t>So can use Hyundia Tool to download Kia's with same cable #</t>
  </si>
  <si>
    <t>(and vice-versa)</t>
  </si>
  <si>
    <t>(YP)</t>
  </si>
  <si>
    <t>(UMA)</t>
  </si>
  <si>
    <t>Optima</t>
  </si>
  <si>
    <t>(JFA)</t>
  </si>
  <si>
    <t>(LF)</t>
  </si>
  <si>
    <t>Version E-N-H-01-00-012</t>
  </si>
  <si>
    <t>Version E-N-H-01-00-0010</t>
  </si>
  <si>
    <t>Cables 2, 4, 6, 7, 8, 11, 13 and 14 are common to Hyundai and Kia</t>
  </si>
  <si>
    <t>Coverage as of Nov 2015</t>
  </si>
  <si>
    <r>
      <t>9:</t>
    </r>
    <r>
      <rPr>
        <sz val="11"/>
        <color theme="1"/>
        <rFont val="Calibri"/>
        <family val="2"/>
        <scheme val="minor"/>
      </rPr>
      <t xml:space="preserve"> 95910-3M150</t>
    </r>
  </si>
  <si>
    <r>
      <t>2:</t>
    </r>
    <r>
      <rPr>
        <sz val="11"/>
        <color theme="1"/>
        <rFont val="Calibri"/>
        <family val="2"/>
        <scheme val="minor"/>
      </rPr>
      <t xml:space="preserve"> 95910-2S600</t>
    </r>
  </si>
  <si>
    <t>(AD, ADA)</t>
  </si>
  <si>
    <t>(MD, UD)</t>
  </si>
  <si>
    <t>6/12</t>
  </si>
  <si>
    <t>(QL)</t>
  </si>
  <si>
    <t>(JF HEV)</t>
  </si>
  <si>
    <t>HEV = Hybrid Electric Vehicle</t>
  </si>
  <si>
    <t>Elantra GT aka i30</t>
  </si>
  <si>
    <t>Module</t>
  </si>
  <si>
    <r>
      <t>7:</t>
    </r>
    <r>
      <rPr>
        <sz val="11"/>
        <color theme="1"/>
        <rFont val="Calibri"/>
        <family val="2"/>
        <scheme val="minor"/>
      </rPr>
      <t xml:space="preserve"> 95910-4Z100</t>
    </r>
  </si>
  <si>
    <r>
      <t>1:</t>
    </r>
    <r>
      <rPr>
        <sz val="11"/>
        <color theme="1"/>
        <rFont val="Calibri"/>
        <family val="2"/>
        <scheme val="minor"/>
      </rPr>
      <t xml:space="preserve"> 95910-2K061</t>
    </r>
  </si>
  <si>
    <r>
      <t>13:</t>
    </r>
    <r>
      <rPr>
        <sz val="11"/>
        <color theme="1"/>
        <rFont val="Calibri"/>
        <family val="2"/>
        <scheme val="minor"/>
      </rPr>
      <t>95910-D9000</t>
    </r>
  </si>
  <si>
    <r>
      <t>8:</t>
    </r>
    <r>
      <rPr>
        <sz val="11"/>
        <color theme="1"/>
        <rFont val="Calibri"/>
        <family val="2"/>
        <scheme val="minor"/>
      </rPr>
      <t xml:space="preserve"> 95910-3X600</t>
    </r>
  </si>
  <si>
    <r>
      <t>3:</t>
    </r>
    <r>
      <rPr>
        <sz val="11"/>
        <color theme="1"/>
        <rFont val="Calibri"/>
        <family val="2"/>
        <scheme val="minor"/>
      </rPr>
      <t xml:space="preserve"> 95910-1U100</t>
    </r>
  </si>
  <si>
    <r>
      <t>8:</t>
    </r>
    <r>
      <rPr>
        <sz val="11"/>
        <color theme="1"/>
        <rFont val="Calibri"/>
        <family val="2"/>
        <scheme val="minor"/>
      </rPr>
      <t xml:space="preserve"> 95910-1W610</t>
    </r>
  </si>
  <si>
    <r>
      <t>9 (shave):</t>
    </r>
    <r>
      <rPr>
        <sz val="11"/>
        <color theme="1"/>
        <rFont val="Calibri"/>
        <family val="2"/>
        <scheme val="minor"/>
      </rPr>
      <t xml:space="preserve"> 95910-0W100</t>
    </r>
  </si>
  <si>
    <r>
      <t>2:</t>
    </r>
    <r>
      <rPr>
        <sz val="11"/>
        <color theme="1"/>
        <rFont val="Calibri"/>
        <family val="2"/>
        <scheme val="minor"/>
      </rPr>
      <t xml:space="preserve"> 95910-D3200(D333)</t>
    </r>
  </si>
  <si>
    <r>
      <t>8:</t>
    </r>
    <r>
      <rPr>
        <sz val="11"/>
        <color theme="1"/>
        <rFont val="Calibri"/>
        <family val="2"/>
        <scheme val="minor"/>
      </rPr>
      <t xml:space="preserve"> 95910-3X600(SD09)</t>
    </r>
  </si>
  <si>
    <r>
      <t>7:</t>
    </r>
    <r>
      <rPr>
        <sz val="11"/>
        <color theme="1"/>
        <rFont val="Calibri"/>
        <family val="2"/>
        <scheme val="minor"/>
      </rPr>
      <t xml:space="preserve"> 95910-1U180</t>
    </r>
  </si>
  <si>
    <r>
      <t>21</t>
    </r>
    <r>
      <rPr>
        <sz val="11"/>
        <color theme="1"/>
        <rFont val="Calibri"/>
        <family val="2"/>
        <scheme val="minor"/>
      </rPr>
      <t>:95910-F2000</t>
    </r>
  </si>
  <si>
    <r>
      <t>14:</t>
    </r>
    <r>
      <rPr>
        <sz val="11"/>
        <color theme="1"/>
        <rFont val="Calibri"/>
        <family val="2"/>
        <scheme val="minor"/>
      </rPr>
      <t>95910-C2000(C204)</t>
    </r>
  </si>
  <si>
    <t>(TL)</t>
  </si>
  <si>
    <t>(LM)</t>
  </si>
  <si>
    <t>(HC)</t>
  </si>
  <si>
    <t>(JS)</t>
  </si>
  <si>
    <t>9/11</t>
  </si>
  <si>
    <t>(TMA)</t>
  </si>
  <si>
    <t>Elantra GT</t>
  </si>
  <si>
    <t>(PD)</t>
  </si>
  <si>
    <t>G80</t>
  </si>
  <si>
    <t>G90</t>
  </si>
  <si>
    <t>(HI)</t>
  </si>
  <si>
    <t>IONOQ</t>
  </si>
  <si>
    <t>(AE)</t>
  </si>
  <si>
    <t>IONOQ Plug-in Hybrid</t>
  </si>
  <si>
    <t>(AE PHEV)</t>
  </si>
  <si>
    <t>(OS)</t>
  </si>
  <si>
    <t>Kona</t>
  </si>
  <si>
    <r>
      <t>8:</t>
    </r>
    <r>
      <rPr>
        <sz val="11"/>
        <color theme="1"/>
        <rFont val="Calibri"/>
        <family val="2"/>
        <scheme val="minor"/>
      </rPr>
      <t xml:space="preserve"> 95910-3Y010(TC04)</t>
    </r>
  </si>
  <si>
    <r>
      <t>1</t>
    </r>
    <r>
      <rPr>
        <sz val="11"/>
        <color theme="1"/>
        <rFont val="Calibri"/>
        <family val="2"/>
        <scheme val="minor"/>
      </rPr>
      <t>: 95910-2K050(AM47)</t>
    </r>
  </si>
  <si>
    <t>Rondo</t>
  </si>
  <si>
    <t>95910-A4000</t>
  </si>
  <si>
    <r>
      <t>8</t>
    </r>
    <r>
      <rPr>
        <sz val="11"/>
        <color theme="1"/>
        <rFont val="Calibri"/>
        <family val="2"/>
        <scheme val="minor"/>
      </rPr>
      <t>:95910-3Y010(TC04)</t>
    </r>
  </si>
  <si>
    <r>
      <t>4</t>
    </r>
    <r>
      <rPr>
        <sz val="11"/>
        <color theme="1"/>
        <rFont val="Calibri"/>
        <family val="2"/>
        <scheme val="minor"/>
      </rPr>
      <t>: 95910-2T610</t>
    </r>
  </si>
  <si>
    <r>
      <t>6:</t>
    </r>
    <r>
      <rPr>
        <sz val="11"/>
        <color theme="1"/>
        <rFont val="Calibri"/>
        <family val="2"/>
        <scheme val="minor"/>
      </rPr>
      <t xml:space="preserve"> 95910-A7350</t>
    </r>
  </si>
  <si>
    <r>
      <t>4</t>
    </r>
    <r>
      <rPr>
        <sz val="11"/>
        <color theme="1"/>
        <rFont val="Calibri"/>
        <family val="2"/>
        <scheme val="minor"/>
      </rPr>
      <t>: 95910-4U650(TFH9)</t>
    </r>
  </si>
  <si>
    <r>
      <t>4:</t>
    </r>
    <r>
      <rPr>
        <sz val="11"/>
        <color theme="1"/>
        <rFont val="Calibri"/>
        <family val="2"/>
        <scheme val="minor"/>
      </rPr>
      <t xml:space="preserve"> 95910-3Q150(YFA4)</t>
    </r>
  </si>
  <si>
    <r>
      <t>5</t>
    </r>
    <r>
      <rPr>
        <sz val="11"/>
        <color theme="1"/>
        <rFont val="Calibri"/>
        <family val="2"/>
        <scheme val="minor"/>
      </rPr>
      <t>: 95910-1R100</t>
    </r>
  </si>
  <si>
    <t>95910-J2300</t>
  </si>
  <si>
    <t>95910-B2600</t>
  </si>
  <si>
    <t>Date of Manufacture</t>
  </si>
  <si>
    <t>NOTES:</t>
  </si>
  <si>
    <t>6th to 9th digits in S/N: DDD/Y</t>
  </si>
  <si>
    <t>System Status at Retrieval</t>
  </si>
  <si>
    <t xml:space="preserve">Ignition Cycle, Download </t>
  </si>
  <si>
    <t>D and ND EVENTS</t>
  </si>
  <si>
    <t>5 Seconds Pre-Crash Data</t>
  </si>
  <si>
    <t>System Status at Event (Most Recent Event)</t>
  </si>
  <si>
    <t>Deployment Command Data (Most Recent Event)</t>
  </si>
  <si>
    <t>DTCs Present at Start of Event (Most Recent Event)</t>
  </si>
  <si>
    <t>Pre-Crash Data (Most Recent Event - Table Titles)</t>
  </si>
  <si>
    <t>DTC Number</t>
  </si>
  <si>
    <t>DTC Status</t>
  </si>
  <si>
    <t>No DTCs Present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</si>
</sst>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"/>
    <numFmt numFmtId="166" formatCode="dd\ mmmm\ yyyy"/>
  </numFmts>
  <fonts count="1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i/>
      <u/>
      <sz val="10"/>
      <color indexed="48"/>
      <name val="Arial"/>
      <family val="2"/>
    </font>
    <font>
      <i/>
      <u/>
      <sz val="10"/>
      <color indexed="4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0" fontId="7" fillId="0" borderId="0"/>
  </cellStyleXfs>
  <cellXfs count="67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/>
    <xf numFmtId="0" fontId="4" fillId="0" borderId="1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164" fontId="5" fillId="3" borderId="3" xfId="1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6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4" borderId="2" xfId="0" applyNumberFormat="1" applyFont="1" applyFill="1" applyBorder="1" applyAlignment="1">
      <alignment horizontal="center"/>
    </xf>
    <xf numFmtId="0" fontId="4" fillId="2" borderId="1" xfId="0" quotePrefix="1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0" borderId="6" xfId="0" applyBorder="1"/>
    <xf numFmtId="0" fontId="4" fillId="0" borderId="7" xfId="0" applyFont="1" applyFill="1" applyBorder="1" applyAlignment="1">
      <alignment horizontal="center"/>
    </xf>
    <xf numFmtId="0" fontId="4" fillId="0" borderId="2" xfId="0" applyNumberFormat="1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1" xfId="0" quotePrefix="1" applyNumberFormat="1" applyFont="1" applyFill="1" applyBorder="1" applyAlignment="1">
      <alignment horizontal="center"/>
    </xf>
    <xf numFmtId="16" fontId="4" fillId="2" borderId="1" xfId="0" quotePrefix="1" applyNumberFormat="1" applyFont="1" applyFill="1" applyBorder="1" applyAlignment="1">
      <alignment horizontal="center"/>
    </xf>
    <xf numFmtId="0" fontId="4" fillId="0" borderId="2" xfId="0" quotePrefix="1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8" fillId="0" borderId="0" xfId="2" applyFont="1"/>
    <xf numFmtId="0" fontId="7" fillId="0" borderId="0" xfId="2"/>
    <xf numFmtId="0" fontId="9" fillId="0" borderId="0" xfId="2" applyFont="1" applyFill="1"/>
    <xf numFmtId="0" fontId="10" fillId="0" borderId="0" xfId="2" applyFont="1"/>
    <xf numFmtId="0" fontId="11" fillId="0" borderId="0" xfId="2" applyFont="1" applyFill="1"/>
    <xf numFmtId="0" fontId="7" fillId="0" borderId="0" xfId="2" applyFont="1"/>
    <xf numFmtId="0" fontId="7" fillId="0" borderId="0" xfId="2" applyAlignment="1"/>
    <xf numFmtId="0" fontId="10" fillId="0" borderId="0" xfId="2" applyFont="1" applyFill="1" applyAlignment="1"/>
    <xf numFmtId="0" fontId="12" fillId="0" borderId="0" xfId="2" applyFont="1" applyFill="1" applyAlignment="1"/>
    <xf numFmtId="0" fontId="11" fillId="0" borderId="0" xfId="2" applyFont="1" applyFill="1" applyAlignment="1"/>
    <xf numFmtId="0" fontId="11" fillId="0" borderId="0" xfId="2" applyFont="1" applyAlignment="1"/>
    <xf numFmtId="0" fontId="13" fillId="0" borderId="0" xfId="2" applyFont="1" applyFill="1" applyAlignment="1"/>
    <xf numFmtId="0" fontId="7" fillId="0" borderId="1" xfId="2" applyFont="1" applyBorder="1" applyAlignment="1">
      <alignment horizontal="left"/>
    </xf>
    <xf numFmtId="0" fontId="7" fillId="0" borderId="1" xfId="2" applyBorder="1" applyAlignment="1">
      <alignment horizontal="left"/>
    </xf>
    <xf numFmtId="0" fontId="8" fillId="0" borderId="0" xfId="0" applyFont="1" applyAlignment="1">
      <alignment horizontal="left"/>
    </xf>
    <xf numFmtId="165" fontId="7" fillId="0" borderId="0" xfId="0" applyNumberFormat="1" applyFont="1" applyAlignment="1">
      <alignment horizontal="left"/>
    </xf>
    <xf numFmtId="0" fontId="8" fillId="0" borderId="0" xfId="0" applyFont="1"/>
    <xf numFmtId="0" fontId="0" fillId="0" borderId="0" xfId="0" applyAlignment="1">
      <alignment horizontal="left"/>
    </xf>
    <xf numFmtId="0" fontId="7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0" xfId="0" applyFont="1" applyAlignment="1">
      <alignment horizontal="center"/>
    </xf>
    <xf numFmtId="166" fontId="0" fillId="0" borderId="0" xfId="0" applyNumberFormat="1" applyAlignment="1">
      <alignment horizontal="left"/>
    </xf>
  </cellXfs>
  <cellStyles count="3">
    <cellStyle name="Currency" xfId="1" builtinId="4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66673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85873" y="57149"/>
          <a:ext cx="123825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Hyundai Kia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7714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ittle" id="{FE45FE1D-0A17-4515-96E4-85A7B66552EC}" userId="S::dlittle@cep-experts.ca::49639b0a-91c0-4fa1-9d27-8739e0ad3b2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46" dT="2019-08-12T23:37:50.30" personId="{FE45FE1D-0A17-4515-96E4-85A7B66552EC}" id="{E3707F55-A23C-40F7-8F58-D1B3237F3FFC}">
    <text>BME 10122. Could be different module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  <pageSetUpPr fitToPage="1"/>
  </sheetPr>
  <dimension ref="A1:Q64"/>
  <sheetViews>
    <sheetView tabSelected="1" workbookViewId="0">
      <selection activeCell="E5" sqref="E5"/>
    </sheetView>
  </sheetViews>
  <sheetFormatPr defaultRowHeight="15" x14ac:dyDescent="0.25"/>
  <cols>
    <col min="1" max="1" width="9.85546875" bestFit="1" customWidth="1"/>
    <col min="2" max="2" width="29.140625" style="3" customWidth="1"/>
    <col min="3" max="3" width="20.7109375" style="3" customWidth="1"/>
    <col min="4" max="4" width="20.5703125" style="3" bestFit="1" customWidth="1"/>
    <col min="5" max="5" width="22" style="3" bestFit="1" customWidth="1"/>
    <col min="6" max="6" width="19.5703125" style="1" bestFit="1" customWidth="1"/>
    <col min="7" max="7" width="20" style="1" bestFit="1" customWidth="1"/>
    <col min="8" max="8" width="19.140625" style="1" customWidth="1"/>
    <col min="9" max="9" width="20.28515625" style="1" bestFit="1" customWidth="1"/>
    <col min="10" max="10" width="20" bestFit="1" customWidth="1"/>
    <col min="11" max="12" width="20" customWidth="1"/>
    <col min="13" max="13" width="11.140625" customWidth="1"/>
    <col min="14" max="14" width="9.140625" customWidth="1"/>
    <col min="15" max="15" width="7.28515625" customWidth="1"/>
  </cols>
  <sheetData>
    <row r="1" spans="1:16" s="5" customFormat="1" ht="15.75" thickBot="1" x14ac:dyDescent="0.3">
      <c r="A1" s="28" t="s">
        <v>89</v>
      </c>
      <c r="B1" s="17" t="s">
        <v>57</v>
      </c>
      <c r="C1" s="8">
        <v>2010</v>
      </c>
      <c r="D1" s="8">
        <v>2011</v>
      </c>
      <c r="E1" s="8">
        <v>2012</v>
      </c>
      <c r="F1" s="8">
        <v>2013</v>
      </c>
      <c r="G1" s="8">
        <v>2014</v>
      </c>
      <c r="H1" s="8">
        <v>2015</v>
      </c>
      <c r="I1" s="8">
        <v>2016</v>
      </c>
      <c r="J1" s="8">
        <v>2017</v>
      </c>
      <c r="K1" s="8">
        <v>2018</v>
      </c>
      <c r="L1" s="8">
        <v>2019</v>
      </c>
    </row>
    <row r="2" spans="1:16" x14ac:dyDescent="0.25">
      <c r="A2" s="9" t="s">
        <v>38</v>
      </c>
      <c r="B2" s="7" t="s">
        <v>0</v>
      </c>
      <c r="C2" s="19" t="s">
        <v>20</v>
      </c>
      <c r="D2" s="7" t="s">
        <v>19</v>
      </c>
      <c r="E2" s="29" t="s">
        <v>128</v>
      </c>
      <c r="F2" s="15" t="s">
        <v>66</v>
      </c>
      <c r="G2" s="15">
        <v>5</v>
      </c>
      <c r="H2" s="15">
        <v>5</v>
      </c>
      <c r="I2" s="21">
        <v>5</v>
      </c>
      <c r="J2" s="21">
        <v>5</v>
      </c>
      <c r="K2" s="36"/>
      <c r="L2" s="36"/>
      <c r="M2" s="23"/>
      <c r="N2" s="62" t="s">
        <v>17</v>
      </c>
      <c r="O2" s="63"/>
      <c r="P2" s="64"/>
    </row>
    <row r="3" spans="1:16" x14ac:dyDescent="0.25">
      <c r="A3" s="9" t="s">
        <v>104</v>
      </c>
      <c r="B3" s="7" t="s">
        <v>0</v>
      </c>
      <c r="C3" s="16"/>
      <c r="D3" s="16"/>
      <c r="E3" s="37"/>
      <c r="F3" s="6"/>
      <c r="G3" s="6"/>
      <c r="H3" s="6"/>
      <c r="I3" s="16"/>
      <c r="J3" s="16"/>
      <c r="K3" s="34">
        <v>21</v>
      </c>
      <c r="L3" s="34">
        <v>21</v>
      </c>
      <c r="M3" s="23"/>
      <c r="N3" s="31"/>
      <c r="O3" s="32"/>
      <c r="P3" s="33"/>
    </row>
    <row r="4" spans="1:16" x14ac:dyDescent="0.25">
      <c r="A4" s="9" t="s">
        <v>39</v>
      </c>
      <c r="B4" s="4" t="s">
        <v>1</v>
      </c>
      <c r="C4" s="9"/>
      <c r="D4" s="9" t="s">
        <v>19</v>
      </c>
      <c r="E4" s="11"/>
      <c r="F4" s="15">
        <v>7</v>
      </c>
      <c r="G4" s="15">
        <v>7</v>
      </c>
      <c r="H4" s="15">
        <v>7</v>
      </c>
      <c r="I4" s="15">
        <v>7</v>
      </c>
      <c r="J4" s="15">
        <v>7</v>
      </c>
      <c r="K4" s="38"/>
      <c r="L4" s="38"/>
      <c r="M4" s="24"/>
      <c r="N4" s="62" t="s">
        <v>16</v>
      </c>
      <c r="O4" s="63"/>
      <c r="P4" s="64"/>
    </row>
    <row r="5" spans="1:16" x14ac:dyDescent="0.25">
      <c r="A5" s="9" t="s">
        <v>40</v>
      </c>
      <c r="B5" s="4" t="s">
        <v>13</v>
      </c>
      <c r="C5" s="19" t="s">
        <v>20</v>
      </c>
      <c r="D5" s="11"/>
      <c r="E5" s="11">
        <v>8</v>
      </c>
      <c r="F5" s="15" t="s">
        <v>119</v>
      </c>
      <c r="G5" s="15">
        <v>8</v>
      </c>
      <c r="H5" s="15" t="s">
        <v>98</v>
      </c>
      <c r="I5" s="6"/>
      <c r="J5" s="26"/>
      <c r="K5" s="35"/>
      <c r="L5" s="35"/>
      <c r="M5" s="25"/>
      <c r="N5" s="62" t="s">
        <v>18</v>
      </c>
      <c r="O5" s="63"/>
      <c r="P5" s="64"/>
    </row>
    <row r="6" spans="1:16" x14ac:dyDescent="0.25">
      <c r="A6" s="9" t="s">
        <v>41</v>
      </c>
      <c r="B6" s="9" t="s">
        <v>88</v>
      </c>
      <c r="C6" s="9" t="s">
        <v>19</v>
      </c>
      <c r="D6" s="11"/>
      <c r="E6" s="11"/>
      <c r="F6" s="15" t="s">
        <v>65</v>
      </c>
      <c r="G6" s="30" t="s">
        <v>84</v>
      </c>
      <c r="H6" s="30" t="s">
        <v>84</v>
      </c>
      <c r="I6" s="30" t="s">
        <v>84</v>
      </c>
      <c r="J6" s="30" t="s">
        <v>84</v>
      </c>
      <c r="K6" s="39"/>
      <c r="L6" s="39"/>
    </row>
    <row r="7" spans="1:16" x14ac:dyDescent="0.25">
      <c r="A7" s="9" t="s">
        <v>109</v>
      </c>
      <c r="B7" s="9" t="s">
        <v>108</v>
      </c>
      <c r="C7" s="7"/>
      <c r="D7" s="16"/>
      <c r="E7" s="16"/>
      <c r="F7" s="16"/>
      <c r="G7" s="41"/>
      <c r="H7" s="41"/>
      <c r="I7" s="39"/>
      <c r="J7" s="39"/>
      <c r="K7" s="30">
        <v>21</v>
      </c>
      <c r="L7" s="30">
        <v>21</v>
      </c>
    </row>
    <row r="8" spans="1:16" x14ac:dyDescent="0.25">
      <c r="A8" s="9" t="s">
        <v>82</v>
      </c>
      <c r="B8" s="9" t="s">
        <v>2</v>
      </c>
      <c r="C8" s="16" t="s">
        <v>54</v>
      </c>
      <c r="D8" s="16" t="s">
        <v>54</v>
      </c>
      <c r="E8" s="16" t="s">
        <v>54</v>
      </c>
      <c r="F8" s="16" t="s">
        <v>54</v>
      </c>
      <c r="G8" s="16" t="s">
        <v>54</v>
      </c>
      <c r="H8" s="16" t="s">
        <v>54</v>
      </c>
      <c r="I8" s="6" t="s">
        <v>54</v>
      </c>
      <c r="J8" s="15" t="s">
        <v>100</v>
      </c>
      <c r="K8" s="15" t="s">
        <v>100</v>
      </c>
      <c r="L8" s="15">
        <v>21</v>
      </c>
    </row>
    <row r="9" spans="1:16" x14ac:dyDescent="0.25">
      <c r="A9" s="9" t="s">
        <v>83</v>
      </c>
      <c r="B9" s="9" t="s">
        <v>2</v>
      </c>
      <c r="C9" s="9"/>
      <c r="D9" s="11"/>
      <c r="E9" s="11">
        <v>8</v>
      </c>
      <c r="F9" s="15" t="s">
        <v>123</v>
      </c>
      <c r="G9" s="15">
        <v>8</v>
      </c>
      <c r="H9" s="15">
        <v>8</v>
      </c>
      <c r="I9" s="15" t="s">
        <v>93</v>
      </c>
      <c r="J9" s="26"/>
      <c r="K9" s="26"/>
      <c r="L9" s="26"/>
    </row>
    <row r="10" spans="1:16" x14ac:dyDescent="0.25">
      <c r="A10" s="9" t="s">
        <v>42</v>
      </c>
      <c r="B10" s="4" t="s">
        <v>3</v>
      </c>
      <c r="C10" s="9" t="s">
        <v>19</v>
      </c>
      <c r="D10" s="9" t="s">
        <v>19</v>
      </c>
      <c r="E10" s="9" t="s">
        <v>19</v>
      </c>
      <c r="F10" s="40" t="s">
        <v>106</v>
      </c>
      <c r="G10" s="40" t="s">
        <v>106</v>
      </c>
      <c r="H10" s="40" t="s">
        <v>106</v>
      </c>
      <c r="I10" s="40" t="s">
        <v>106</v>
      </c>
      <c r="J10" s="6"/>
      <c r="K10" s="6"/>
      <c r="L10" s="6"/>
      <c r="M10" s="22"/>
      <c r="N10" s="22" t="s">
        <v>56</v>
      </c>
    </row>
    <row r="11" spans="1:16" x14ac:dyDescent="0.25">
      <c r="A11" s="9" t="s">
        <v>45</v>
      </c>
      <c r="B11" s="4" t="s">
        <v>14</v>
      </c>
      <c r="C11" s="11" t="s">
        <v>67</v>
      </c>
      <c r="D11" s="9" t="s">
        <v>19</v>
      </c>
      <c r="E11" s="9" t="s">
        <v>19</v>
      </c>
      <c r="F11" s="15">
        <v>9</v>
      </c>
      <c r="G11" s="15">
        <v>9</v>
      </c>
      <c r="H11" s="15">
        <v>9</v>
      </c>
      <c r="I11" s="15">
        <v>9</v>
      </c>
      <c r="J11" s="6"/>
      <c r="K11" s="6"/>
      <c r="L11" s="6"/>
      <c r="M11" s="14"/>
      <c r="N11" s="14"/>
    </row>
    <row r="12" spans="1:16" x14ac:dyDescent="0.25">
      <c r="A12" s="9" t="s">
        <v>43</v>
      </c>
      <c r="B12" s="9" t="s">
        <v>4</v>
      </c>
      <c r="C12" s="11" t="s">
        <v>59</v>
      </c>
      <c r="D12" s="11"/>
      <c r="E12" s="11" t="s">
        <v>80</v>
      </c>
      <c r="F12" s="15">
        <v>9</v>
      </c>
      <c r="G12" s="15">
        <v>9</v>
      </c>
      <c r="H12" s="6"/>
      <c r="I12" s="6"/>
      <c r="J12" s="6"/>
      <c r="K12" s="6"/>
      <c r="L12" s="6"/>
      <c r="M12" s="22"/>
      <c r="N12" s="22"/>
    </row>
    <row r="13" spans="1:16" x14ac:dyDescent="0.25">
      <c r="A13" s="9" t="s">
        <v>44</v>
      </c>
      <c r="B13" s="9" t="s">
        <v>4</v>
      </c>
      <c r="C13" s="6"/>
      <c r="D13" s="6"/>
      <c r="E13" s="6"/>
      <c r="F13" s="6"/>
      <c r="G13" s="6"/>
      <c r="H13" s="15" t="s">
        <v>68</v>
      </c>
      <c r="I13" s="15">
        <v>13</v>
      </c>
      <c r="J13" s="6"/>
      <c r="K13" s="6"/>
      <c r="L13" s="6"/>
      <c r="M13" s="13"/>
      <c r="N13" s="13"/>
    </row>
    <row r="14" spans="1:16" x14ac:dyDescent="0.25">
      <c r="A14" s="9" t="s">
        <v>44</v>
      </c>
      <c r="B14" s="9" t="s">
        <v>110</v>
      </c>
      <c r="C14" s="6"/>
      <c r="D14" s="6"/>
      <c r="E14" s="6"/>
      <c r="F14" s="6"/>
      <c r="G14" s="6"/>
      <c r="H14" s="6"/>
      <c r="I14" s="6"/>
      <c r="J14" s="15">
        <v>13</v>
      </c>
      <c r="K14" s="15">
        <v>13</v>
      </c>
      <c r="L14" s="15">
        <v>13</v>
      </c>
      <c r="M14" s="14"/>
      <c r="N14" s="14"/>
    </row>
    <row r="15" spans="1:16" x14ac:dyDescent="0.25">
      <c r="A15" s="9" t="s">
        <v>112</v>
      </c>
      <c r="B15" s="9" t="s">
        <v>111</v>
      </c>
      <c r="C15" s="6"/>
      <c r="D15" s="6"/>
      <c r="E15" s="6"/>
      <c r="F15" s="6"/>
      <c r="G15" s="6"/>
      <c r="H15" s="6"/>
      <c r="I15" s="6"/>
      <c r="J15" s="15">
        <v>13</v>
      </c>
      <c r="K15" s="15">
        <v>13</v>
      </c>
      <c r="L15" s="15">
        <v>13</v>
      </c>
      <c r="M15" s="14"/>
      <c r="N15" s="14"/>
    </row>
    <row r="16" spans="1:16" x14ac:dyDescent="0.25">
      <c r="A16" s="9" t="s">
        <v>114</v>
      </c>
      <c r="B16" s="9" t="s">
        <v>113</v>
      </c>
      <c r="C16" s="6"/>
      <c r="D16" s="6"/>
      <c r="E16" s="6"/>
      <c r="F16" s="6"/>
      <c r="G16" s="6"/>
      <c r="H16" s="6"/>
      <c r="I16" s="6"/>
      <c r="J16" s="15">
        <v>21</v>
      </c>
      <c r="K16" s="15">
        <v>21</v>
      </c>
      <c r="L16" s="15">
        <v>21</v>
      </c>
      <c r="M16" s="14"/>
      <c r="N16" s="14"/>
    </row>
    <row r="17" spans="1:14" x14ac:dyDescent="0.25">
      <c r="A17" s="9" t="s">
        <v>116</v>
      </c>
      <c r="B17" s="9" t="s">
        <v>115</v>
      </c>
      <c r="C17" s="6"/>
      <c r="D17" s="6"/>
      <c r="E17" s="6"/>
      <c r="F17" s="6"/>
      <c r="G17" s="6"/>
      <c r="H17" s="6"/>
      <c r="I17" s="6"/>
      <c r="J17" s="6"/>
      <c r="K17" s="15">
        <v>21</v>
      </c>
      <c r="L17" s="15">
        <v>21</v>
      </c>
      <c r="M17" s="14"/>
      <c r="N17" s="14"/>
    </row>
    <row r="18" spans="1:14" x14ac:dyDescent="0.25">
      <c r="A18" s="9" t="s">
        <v>117</v>
      </c>
      <c r="B18" s="9" t="s">
        <v>118</v>
      </c>
      <c r="C18" s="6"/>
      <c r="D18" s="6"/>
      <c r="E18" s="6"/>
      <c r="F18" s="6"/>
      <c r="G18" s="6"/>
      <c r="H18" s="6"/>
      <c r="I18" s="6"/>
      <c r="J18" s="6"/>
      <c r="K18" s="15">
        <v>24</v>
      </c>
      <c r="L18" s="15">
        <v>24</v>
      </c>
      <c r="M18" s="14"/>
      <c r="N18" s="14"/>
    </row>
    <row r="19" spans="1:14" x14ac:dyDescent="0.25">
      <c r="A19" s="9" t="s">
        <v>47</v>
      </c>
      <c r="B19" s="4" t="s">
        <v>46</v>
      </c>
      <c r="C19" s="11" t="s">
        <v>59</v>
      </c>
      <c r="D19" s="11" t="s">
        <v>59</v>
      </c>
      <c r="E19" s="11" t="s">
        <v>96</v>
      </c>
      <c r="F19" s="15" t="s">
        <v>62</v>
      </c>
      <c r="G19" s="15">
        <v>7</v>
      </c>
      <c r="H19" s="15">
        <v>7</v>
      </c>
      <c r="I19" s="15" t="s">
        <v>90</v>
      </c>
      <c r="J19" s="15">
        <v>7</v>
      </c>
      <c r="K19" s="15">
        <v>7</v>
      </c>
      <c r="L19" s="15">
        <v>7</v>
      </c>
    </row>
    <row r="20" spans="1:14" x14ac:dyDescent="0.25">
      <c r="A20" s="9" t="s">
        <v>48</v>
      </c>
      <c r="B20" s="9" t="s">
        <v>49</v>
      </c>
      <c r="C20" s="11" t="s">
        <v>59</v>
      </c>
      <c r="D20" s="11" t="s">
        <v>59</v>
      </c>
      <c r="E20" s="11" t="s">
        <v>59</v>
      </c>
      <c r="F20" s="15" t="s">
        <v>63</v>
      </c>
      <c r="G20" s="15">
        <v>7</v>
      </c>
      <c r="H20" s="15">
        <v>7</v>
      </c>
      <c r="I20" s="15">
        <v>7</v>
      </c>
      <c r="J20" s="15">
        <v>7</v>
      </c>
      <c r="K20" s="15">
        <v>7</v>
      </c>
      <c r="L20" s="15">
        <v>7</v>
      </c>
    </row>
    <row r="21" spans="1:14" x14ac:dyDescent="0.25">
      <c r="A21" s="9" t="s">
        <v>107</v>
      </c>
      <c r="B21" s="9" t="s">
        <v>49</v>
      </c>
      <c r="C21" s="6"/>
      <c r="D21" s="6"/>
      <c r="E21" s="6"/>
      <c r="F21" s="6"/>
      <c r="G21" s="6"/>
      <c r="H21" s="6"/>
      <c r="I21" s="6"/>
      <c r="J21" s="6"/>
      <c r="K21" s="6"/>
      <c r="L21" s="15">
        <v>25</v>
      </c>
    </row>
    <row r="22" spans="1:14" ht="15" customHeight="1" x14ac:dyDescent="0.25">
      <c r="A22" s="9" t="s">
        <v>50</v>
      </c>
      <c r="B22" s="9" t="s">
        <v>15</v>
      </c>
      <c r="C22" s="9" t="s">
        <v>19</v>
      </c>
      <c r="D22" s="9" t="s">
        <v>19</v>
      </c>
      <c r="E22" s="9" t="s">
        <v>19</v>
      </c>
      <c r="F22" s="15">
        <v>4</v>
      </c>
      <c r="G22" s="15">
        <v>4</v>
      </c>
      <c r="H22" s="15">
        <v>4</v>
      </c>
      <c r="I22" s="6"/>
      <c r="J22" s="6"/>
      <c r="K22" s="6"/>
      <c r="L22" s="6"/>
      <c r="M22" t="s">
        <v>61</v>
      </c>
    </row>
    <row r="23" spans="1:14" ht="15" customHeight="1" x14ac:dyDescent="0.25">
      <c r="A23" s="9" t="s">
        <v>75</v>
      </c>
      <c r="B23" s="9" t="s">
        <v>51</v>
      </c>
      <c r="C23" s="9" t="s">
        <v>19</v>
      </c>
      <c r="D23" s="9" t="s">
        <v>19</v>
      </c>
      <c r="E23" s="6" t="s">
        <v>19</v>
      </c>
      <c r="F23" s="6"/>
      <c r="G23" s="6"/>
      <c r="H23" s="15">
        <v>14</v>
      </c>
      <c r="I23" s="15" t="s">
        <v>101</v>
      </c>
      <c r="J23" s="15">
        <v>14</v>
      </c>
      <c r="K23" s="15">
        <v>14</v>
      </c>
      <c r="L23" s="15">
        <v>14</v>
      </c>
    </row>
    <row r="24" spans="1:14" x14ac:dyDescent="0.25">
      <c r="A24" s="9" t="s">
        <v>52</v>
      </c>
      <c r="B24" s="9" t="s">
        <v>22</v>
      </c>
      <c r="C24" s="9" t="s">
        <v>19</v>
      </c>
      <c r="D24" s="11">
        <v>4</v>
      </c>
      <c r="E24" s="11"/>
      <c r="F24" s="15">
        <v>4</v>
      </c>
      <c r="G24" s="15" t="s">
        <v>127</v>
      </c>
      <c r="H24" s="26"/>
      <c r="I24" s="26"/>
      <c r="J24" s="26"/>
      <c r="K24" s="26"/>
      <c r="L24" s="26"/>
    </row>
    <row r="25" spans="1:14" ht="15" customHeight="1" x14ac:dyDescent="0.25">
      <c r="A25" s="9" t="s">
        <v>103</v>
      </c>
      <c r="B25" s="9" t="s">
        <v>23</v>
      </c>
      <c r="C25" s="11"/>
      <c r="D25" s="11"/>
      <c r="E25" s="11" t="s">
        <v>81</v>
      </c>
      <c r="F25" s="15">
        <v>2</v>
      </c>
      <c r="G25" s="15">
        <v>2</v>
      </c>
      <c r="H25" s="15">
        <v>2</v>
      </c>
      <c r="I25" s="15">
        <v>2</v>
      </c>
      <c r="J25" s="15" t="s">
        <v>97</v>
      </c>
      <c r="K25" s="26"/>
      <c r="L25" s="26"/>
    </row>
    <row r="26" spans="1:14" ht="15" customHeight="1" x14ac:dyDescent="0.25">
      <c r="A26" s="9" t="s">
        <v>102</v>
      </c>
      <c r="B26" s="9" t="s">
        <v>23</v>
      </c>
      <c r="C26" s="6"/>
      <c r="D26" s="6"/>
      <c r="E26" s="6"/>
      <c r="F26" s="6"/>
      <c r="G26" s="6"/>
      <c r="H26" s="6"/>
      <c r="I26" s="15">
        <v>13</v>
      </c>
      <c r="J26" s="15">
        <v>13</v>
      </c>
      <c r="K26" s="15">
        <v>13</v>
      </c>
      <c r="L26" s="15">
        <v>13</v>
      </c>
    </row>
    <row r="27" spans="1:14" x14ac:dyDescent="0.25">
      <c r="A27" s="9" t="s">
        <v>53</v>
      </c>
      <c r="B27" s="6" t="s">
        <v>9</v>
      </c>
      <c r="C27" s="6" t="s">
        <v>19</v>
      </c>
      <c r="D27" s="6" t="s">
        <v>19</v>
      </c>
      <c r="E27" s="6" t="s">
        <v>19</v>
      </c>
      <c r="F27" s="15">
        <v>5</v>
      </c>
      <c r="G27" s="15">
        <v>5</v>
      </c>
      <c r="H27" s="15">
        <v>5</v>
      </c>
      <c r="I27" s="15">
        <v>5</v>
      </c>
      <c r="J27" s="15">
        <v>5</v>
      </c>
      <c r="K27" s="15">
        <v>5</v>
      </c>
      <c r="L27" s="6"/>
    </row>
    <row r="28" spans="1:14" x14ac:dyDescent="0.25">
      <c r="A28" s="9" t="s">
        <v>105</v>
      </c>
      <c r="B28" s="6" t="s">
        <v>9</v>
      </c>
      <c r="C28" s="6"/>
      <c r="D28" s="6"/>
      <c r="E28" s="6"/>
      <c r="F28" s="6"/>
      <c r="G28" s="6"/>
      <c r="H28" s="6"/>
      <c r="I28" s="6"/>
      <c r="J28" s="6"/>
      <c r="K28" s="6"/>
      <c r="L28" s="15">
        <v>14</v>
      </c>
    </row>
    <row r="29" spans="1:14" x14ac:dyDescent="0.25">
      <c r="A29" s="3"/>
      <c r="B29" s="3" t="s">
        <v>76</v>
      </c>
    </row>
    <row r="30" spans="1:14" x14ac:dyDescent="0.25">
      <c r="A30" s="3"/>
    </row>
    <row r="31" spans="1:14" ht="15.75" thickBot="1" x14ac:dyDescent="0.3">
      <c r="A31" s="28" t="s">
        <v>89</v>
      </c>
      <c r="B31" s="18" t="s">
        <v>58</v>
      </c>
      <c r="C31" s="8">
        <v>2010</v>
      </c>
      <c r="D31" s="8">
        <v>2011</v>
      </c>
      <c r="E31" s="8">
        <v>2012</v>
      </c>
      <c r="F31" s="8">
        <v>2013</v>
      </c>
      <c r="G31" s="8">
        <v>2014</v>
      </c>
      <c r="H31" s="8">
        <v>2015</v>
      </c>
      <c r="I31" s="8">
        <v>2016</v>
      </c>
      <c r="J31" s="8">
        <v>2017</v>
      </c>
      <c r="K31" s="8">
        <v>2018</v>
      </c>
      <c r="L31" s="8">
        <v>2019</v>
      </c>
      <c r="M31" s="8">
        <v>2020</v>
      </c>
    </row>
    <row r="32" spans="1:14" x14ac:dyDescent="0.25">
      <c r="A32" s="9" t="s">
        <v>26</v>
      </c>
      <c r="B32" s="9" t="s">
        <v>10</v>
      </c>
      <c r="C32" s="9"/>
      <c r="D32" s="9"/>
      <c r="E32" s="9"/>
      <c r="F32" s="12"/>
      <c r="G32" s="15">
        <v>19</v>
      </c>
      <c r="H32" s="15">
        <v>19</v>
      </c>
      <c r="I32" s="21">
        <v>19</v>
      </c>
      <c r="J32" s="21">
        <v>19</v>
      </c>
      <c r="K32" s="21"/>
      <c r="L32" s="21"/>
    </row>
    <row r="33" spans="1:17" x14ac:dyDescent="0.25">
      <c r="A33" s="9" t="s">
        <v>55</v>
      </c>
      <c r="B33" s="7" t="s">
        <v>28</v>
      </c>
      <c r="C33" s="10">
        <v>10</v>
      </c>
      <c r="D33" s="10" t="s">
        <v>64</v>
      </c>
      <c r="E33" s="10">
        <v>10</v>
      </c>
      <c r="F33" s="21">
        <v>10</v>
      </c>
      <c r="G33" s="6" t="s">
        <v>54</v>
      </c>
      <c r="H33" s="6" t="s">
        <v>54</v>
      </c>
      <c r="I33" s="26"/>
      <c r="J33" s="26"/>
      <c r="K33" s="26"/>
      <c r="L33" s="26"/>
      <c r="Q33" s="27"/>
    </row>
    <row r="34" spans="1:17" x14ac:dyDescent="0.25">
      <c r="A34" s="9" t="s">
        <v>27</v>
      </c>
      <c r="B34" s="7" t="s">
        <v>5</v>
      </c>
      <c r="C34" s="16" t="s">
        <v>54</v>
      </c>
      <c r="D34" s="16" t="s">
        <v>54</v>
      </c>
      <c r="E34" s="16" t="s">
        <v>54</v>
      </c>
      <c r="F34" s="16" t="s">
        <v>54</v>
      </c>
      <c r="G34" s="15" t="s">
        <v>125</v>
      </c>
      <c r="H34" s="15">
        <v>6</v>
      </c>
      <c r="I34" s="15">
        <v>6</v>
      </c>
      <c r="J34" s="15">
        <v>6</v>
      </c>
      <c r="K34" s="15"/>
      <c r="L34" s="15"/>
    </row>
    <row r="35" spans="1:17" x14ac:dyDescent="0.25">
      <c r="A35" s="9" t="s">
        <v>30</v>
      </c>
      <c r="B35" s="9" t="s">
        <v>21</v>
      </c>
      <c r="C35" s="20" t="s">
        <v>20</v>
      </c>
      <c r="D35" s="11">
        <v>4</v>
      </c>
      <c r="E35" s="11">
        <v>4</v>
      </c>
      <c r="F35" s="15">
        <v>4</v>
      </c>
      <c r="G35" s="15" t="s">
        <v>124</v>
      </c>
      <c r="H35" s="15">
        <v>4</v>
      </c>
      <c r="I35" s="16" t="s">
        <v>54</v>
      </c>
      <c r="J35" s="16" t="s">
        <v>54</v>
      </c>
      <c r="K35" s="6"/>
      <c r="L35" s="6"/>
    </row>
    <row r="36" spans="1:17" x14ac:dyDescent="0.25">
      <c r="A36" s="9" t="s">
        <v>31</v>
      </c>
      <c r="B36" s="9" t="s">
        <v>12</v>
      </c>
      <c r="C36" s="20" t="s">
        <v>20</v>
      </c>
      <c r="D36" s="11">
        <v>4</v>
      </c>
      <c r="E36" s="11">
        <v>4</v>
      </c>
      <c r="F36" s="15">
        <v>4</v>
      </c>
      <c r="G36" s="15" t="s">
        <v>126</v>
      </c>
      <c r="H36" s="15">
        <v>4</v>
      </c>
      <c r="I36" s="15">
        <v>4</v>
      </c>
      <c r="J36" s="16" t="s">
        <v>54</v>
      </c>
      <c r="K36" s="6"/>
      <c r="L36" s="6"/>
    </row>
    <row r="37" spans="1:17" x14ac:dyDescent="0.25">
      <c r="A37" s="9" t="s">
        <v>86</v>
      </c>
      <c r="B37" s="9" t="s">
        <v>12</v>
      </c>
      <c r="C37" s="7"/>
      <c r="D37" s="16" t="s">
        <v>54</v>
      </c>
      <c r="E37" s="16" t="s">
        <v>54</v>
      </c>
      <c r="F37" s="16" t="s">
        <v>54</v>
      </c>
      <c r="G37" s="16" t="s">
        <v>54</v>
      </c>
      <c r="H37" s="16" t="s">
        <v>54</v>
      </c>
      <c r="I37" s="16" t="s">
        <v>54</v>
      </c>
      <c r="J37" s="15">
        <v>23</v>
      </c>
      <c r="K37" s="15"/>
      <c r="L37" s="15"/>
    </row>
    <row r="38" spans="1:17" x14ac:dyDescent="0.25">
      <c r="A38" s="9" t="s">
        <v>74</v>
      </c>
      <c r="B38" s="9" t="s">
        <v>73</v>
      </c>
      <c r="C38" s="16" t="s">
        <v>54</v>
      </c>
      <c r="D38" s="16" t="s">
        <v>54</v>
      </c>
      <c r="E38" s="16" t="s">
        <v>54</v>
      </c>
      <c r="F38" s="16" t="s">
        <v>54</v>
      </c>
      <c r="G38" s="16" t="s">
        <v>54</v>
      </c>
      <c r="H38" s="16" t="s">
        <v>54</v>
      </c>
      <c r="I38" s="15">
        <v>14</v>
      </c>
      <c r="J38" s="15">
        <v>14</v>
      </c>
      <c r="K38" s="15"/>
      <c r="L38" s="15"/>
    </row>
    <row r="39" spans="1:17" x14ac:dyDescent="0.25">
      <c r="A39" s="9" t="s">
        <v>32</v>
      </c>
      <c r="B39" s="9" t="s">
        <v>6</v>
      </c>
      <c r="C39" s="20" t="s">
        <v>20</v>
      </c>
      <c r="D39" s="20" t="s">
        <v>20</v>
      </c>
      <c r="E39" s="11">
        <v>8</v>
      </c>
      <c r="F39" s="2" t="s">
        <v>60</v>
      </c>
      <c r="G39" s="15">
        <v>8</v>
      </c>
      <c r="H39" s="15">
        <v>8</v>
      </c>
      <c r="I39" s="15" t="s">
        <v>95</v>
      </c>
      <c r="J39" s="15">
        <v>8</v>
      </c>
      <c r="K39" s="15"/>
      <c r="L39" s="15"/>
    </row>
    <row r="40" spans="1:17" x14ac:dyDescent="0.25">
      <c r="A40" s="9"/>
      <c r="B40" s="9" t="s">
        <v>121</v>
      </c>
      <c r="C40" s="6"/>
      <c r="D40" s="6"/>
      <c r="E40" s="6"/>
      <c r="F40" s="2"/>
      <c r="G40" s="42" t="s">
        <v>122</v>
      </c>
      <c r="H40" s="15"/>
      <c r="I40" s="15"/>
      <c r="J40" s="15"/>
      <c r="K40" s="15"/>
      <c r="L40" s="15"/>
    </row>
    <row r="41" spans="1:17" x14ac:dyDescent="0.25">
      <c r="A41" s="9" t="s">
        <v>33</v>
      </c>
      <c r="B41" s="9" t="s">
        <v>11</v>
      </c>
      <c r="C41" s="20" t="s">
        <v>20</v>
      </c>
      <c r="D41" s="20" t="s">
        <v>20</v>
      </c>
      <c r="E41" s="20" t="s">
        <v>20</v>
      </c>
      <c r="F41" s="20" t="s">
        <v>20</v>
      </c>
      <c r="G41" s="15">
        <v>10</v>
      </c>
      <c r="H41" s="6" t="s">
        <v>54</v>
      </c>
      <c r="I41" s="26"/>
      <c r="J41" s="26"/>
      <c r="K41" s="26"/>
      <c r="L41" s="26"/>
    </row>
    <row r="42" spans="1:17" x14ac:dyDescent="0.25">
      <c r="A42" s="9" t="s">
        <v>71</v>
      </c>
      <c r="B42" s="9" t="s">
        <v>11</v>
      </c>
      <c r="C42" s="16" t="s">
        <v>54</v>
      </c>
      <c r="D42" s="16" t="s">
        <v>54</v>
      </c>
      <c r="E42" s="16" t="s">
        <v>54</v>
      </c>
      <c r="F42" s="16" t="s">
        <v>54</v>
      </c>
      <c r="G42" s="16" t="s">
        <v>54</v>
      </c>
      <c r="H42" s="15">
        <v>12</v>
      </c>
      <c r="I42" s="15">
        <v>12</v>
      </c>
      <c r="J42" s="15">
        <v>12</v>
      </c>
      <c r="K42" s="15"/>
      <c r="L42" s="15"/>
    </row>
    <row r="43" spans="1:17" ht="15" customHeight="1" x14ac:dyDescent="0.25">
      <c r="A43" s="9" t="s">
        <v>34</v>
      </c>
      <c r="B43" s="9" t="s">
        <v>7</v>
      </c>
      <c r="C43" s="9"/>
      <c r="D43" s="11">
        <v>3</v>
      </c>
      <c r="E43" s="11" t="s">
        <v>94</v>
      </c>
      <c r="F43" s="15">
        <v>3</v>
      </c>
      <c r="G43" s="15" t="s">
        <v>99</v>
      </c>
      <c r="H43" s="15">
        <v>7</v>
      </c>
      <c r="I43" s="16" t="s">
        <v>54</v>
      </c>
      <c r="J43" s="16" t="s">
        <v>54</v>
      </c>
      <c r="K43" s="6"/>
      <c r="L43" s="6"/>
    </row>
    <row r="44" spans="1:17" ht="15" customHeight="1" x14ac:dyDescent="0.25">
      <c r="A44" s="9" t="s">
        <v>72</v>
      </c>
      <c r="B44" s="9" t="s">
        <v>7</v>
      </c>
      <c r="C44" s="16" t="s">
        <v>54</v>
      </c>
      <c r="D44" s="16" t="s">
        <v>54</v>
      </c>
      <c r="E44" s="16" t="s">
        <v>54</v>
      </c>
      <c r="F44" s="16" t="s">
        <v>54</v>
      </c>
      <c r="G44" s="16" t="s">
        <v>54</v>
      </c>
      <c r="H44" s="16" t="s">
        <v>54</v>
      </c>
      <c r="I44" s="15">
        <v>13</v>
      </c>
      <c r="J44" s="15">
        <v>13</v>
      </c>
      <c r="K44" s="15"/>
      <c r="L44" s="15"/>
    </row>
    <row r="45" spans="1:17" x14ac:dyDescent="0.25">
      <c r="A45" s="9" t="s">
        <v>35</v>
      </c>
      <c r="B45" s="9" t="s">
        <v>8</v>
      </c>
      <c r="C45" s="11">
        <v>1</v>
      </c>
      <c r="D45" s="11" t="s">
        <v>120</v>
      </c>
      <c r="E45" s="11">
        <v>1</v>
      </c>
      <c r="F45" s="15" t="s">
        <v>91</v>
      </c>
      <c r="G45" s="6" t="s">
        <v>20</v>
      </c>
      <c r="H45" s="6" t="s">
        <v>20</v>
      </c>
      <c r="I45" s="26"/>
      <c r="J45" s="26"/>
      <c r="K45" s="26"/>
      <c r="L45" s="26"/>
    </row>
    <row r="46" spans="1:17" x14ac:dyDescent="0.25">
      <c r="A46" s="9" t="s">
        <v>36</v>
      </c>
      <c r="B46" s="9" t="s">
        <v>8</v>
      </c>
      <c r="C46" s="6"/>
      <c r="D46" s="6"/>
      <c r="E46" s="6"/>
      <c r="F46" s="6" t="s">
        <v>20</v>
      </c>
      <c r="G46" s="15">
        <v>12</v>
      </c>
      <c r="H46" s="15">
        <v>12</v>
      </c>
      <c r="I46" s="15">
        <v>12</v>
      </c>
      <c r="J46" s="15">
        <v>12</v>
      </c>
      <c r="K46" s="15"/>
      <c r="L46" s="42" t="s">
        <v>130</v>
      </c>
      <c r="M46" t="s">
        <v>129</v>
      </c>
    </row>
    <row r="47" spans="1:17" ht="15" customHeight="1" x14ac:dyDescent="0.25">
      <c r="A47" s="9" t="s">
        <v>37</v>
      </c>
      <c r="B47" s="9" t="s">
        <v>24</v>
      </c>
      <c r="C47" s="9"/>
      <c r="D47" s="11"/>
      <c r="E47" s="11">
        <v>2</v>
      </c>
      <c r="F47" s="15">
        <v>2</v>
      </c>
      <c r="G47" s="15">
        <v>2</v>
      </c>
      <c r="H47" s="15">
        <v>2</v>
      </c>
      <c r="I47" s="15">
        <v>2</v>
      </c>
      <c r="J47" s="26"/>
      <c r="K47" s="26"/>
      <c r="L47" s="26"/>
    </row>
    <row r="48" spans="1:17" ht="15" customHeight="1" x14ac:dyDescent="0.25">
      <c r="A48" s="9" t="s">
        <v>85</v>
      </c>
      <c r="B48" s="9" t="s">
        <v>24</v>
      </c>
      <c r="C48" s="7"/>
      <c r="D48" s="16" t="s">
        <v>54</v>
      </c>
      <c r="E48" s="16" t="s">
        <v>54</v>
      </c>
      <c r="F48" s="16" t="s">
        <v>54</v>
      </c>
      <c r="G48" s="16" t="s">
        <v>54</v>
      </c>
      <c r="H48" s="16" t="s">
        <v>54</v>
      </c>
      <c r="I48" s="16" t="s">
        <v>54</v>
      </c>
      <c r="J48" s="15" t="s">
        <v>92</v>
      </c>
      <c r="K48" s="15"/>
      <c r="L48" s="15"/>
    </row>
    <row r="49" spans="1:12" x14ac:dyDescent="0.25">
      <c r="A49" s="9" t="s">
        <v>29</v>
      </c>
      <c r="B49" s="9" t="s">
        <v>25</v>
      </c>
      <c r="C49" s="16" t="s">
        <v>54</v>
      </c>
      <c r="D49" s="16" t="s">
        <v>54</v>
      </c>
      <c r="E49" s="16" t="s">
        <v>54</v>
      </c>
      <c r="F49" s="16" t="s">
        <v>54</v>
      </c>
      <c r="G49" s="16" t="s">
        <v>54</v>
      </c>
      <c r="H49" s="15">
        <v>11</v>
      </c>
      <c r="I49" s="15">
        <v>11</v>
      </c>
      <c r="J49" s="15">
        <v>11</v>
      </c>
      <c r="K49" s="15"/>
      <c r="L49" s="15"/>
    </row>
    <row r="50" spans="1:12" x14ac:dyDescent="0.25">
      <c r="B50" s="3" t="s">
        <v>77</v>
      </c>
      <c r="H50"/>
      <c r="I50"/>
    </row>
    <row r="51" spans="1:12" x14ac:dyDescent="0.25">
      <c r="H51"/>
      <c r="I51"/>
    </row>
    <row r="52" spans="1:12" x14ac:dyDescent="0.25">
      <c r="B52" s="3" t="s">
        <v>79</v>
      </c>
      <c r="C52" s="65"/>
      <c r="D52" s="65"/>
      <c r="H52"/>
      <c r="I52"/>
    </row>
    <row r="53" spans="1:12" x14ac:dyDescent="0.25">
      <c r="C53" s="3" t="s">
        <v>78</v>
      </c>
    </row>
    <row r="54" spans="1:12" x14ac:dyDescent="0.25">
      <c r="C54" s="3" t="s">
        <v>69</v>
      </c>
    </row>
    <row r="55" spans="1:12" x14ac:dyDescent="0.25">
      <c r="C55" s="3" t="s">
        <v>70</v>
      </c>
    </row>
    <row r="57" spans="1:12" x14ac:dyDescent="0.25">
      <c r="C57" s="3" t="s">
        <v>87</v>
      </c>
    </row>
    <row r="59" spans="1:12" x14ac:dyDescent="0.25">
      <c r="A59" s="57"/>
      <c r="B59"/>
    </row>
    <row r="60" spans="1:12" x14ac:dyDescent="0.25">
      <c r="A60" s="58"/>
      <c r="B60"/>
    </row>
    <row r="61" spans="1:12" x14ac:dyDescent="0.25">
      <c r="A61" s="57"/>
      <c r="B61"/>
    </row>
    <row r="62" spans="1:12" x14ac:dyDescent="0.25">
      <c r="A62" s="66"/>
      <c r="B62" s="66"/>
    </row>
    <row r="63" spans="1:12" x14ac:dyDescent="0.25">
      <c r="A63" s="59"/>
      <c r="B63" s="60"/>
    </row>
    <row r="64" spans="1:12" x14ac:dyDescent="0.25">
      <c r="A64" s="61"/>
      <c r="B64" s="60"/>
    </row>
  </sheetData>
  <mergeCells count="5">
    <mergeCell ref="N2:P2"/>
    <mergeCell ref="N4:P4"/>
    <mergeCell ref="N5:P5"/>
    <mergeCell ref="C52:D52"/>
    <mergeCell ref="A62:B62"/>
  </mergeCells>
  <pageMargins left="0.7" right="0.7" top="0.75" bottom="0.75" header="0.3" footer="0.3"/>
  <pageSetup scale="88" orientation="landscape" horizont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U46"/>
  <sheetViews>
    <sheetView workbookViewId="0">
      <selection activeCell="A6" sqref="A6"/>
    </sheetView>
  </sheetViews>
  <sheetFormatPr defaultRowHeight="12.75" x14ac:dyDescent="0.2"/>
  <cols>
    <col min="1" max="3" width="9.140625" style="44"/>
    <col min="4" max="4" width="11.140625" style="44" customWidth="1"/>
    <col min="5" max="5" width="27.28515625" style="44" customWidth="1"/>
    <col min="6" max="10" width="9.140625" style="44"/>
    <col min="11" max="11" width="24.7109375" style="44" customWidth="1"/>
    <col min="12" max="12" width="12.42578125" style="44" customWidth="1"/>
    <col min="13" max="13" width="11.140625" style="44" customWidth="1"/>
    <col min="14" max="17" width="9.140625" style="44"/>
    <col min="18" max="18" width="11.140625" style="44" customWidth="1"/>
    <col min="19" max="16384" width="9.140625" style="44"/>
  </cols>
  <sheetData>
    <row r="1" spans="1:18" x14ac:dyDescent="0.2">
      <c r="A1" s="43" t="str">
        <f ca="1">(MID(CELL("filename",A1),FIND("]",CELL("filename",A1))+1,255))</f>
        <v>(EDR Title)</v>
      </c>
    </row>
    <row r="2" spans="1:18" x14ac:dyDescent="0.2">
      <c r="E2" s="45" t="s">
        <v>131</v>
      </c>
      <c r="G2" s="46" t="s">
        <v>132</v>
      </c>
    </row>
    <row r="3" spans="1:18" x14ac:dyDescent="0.2">
      <c r="E3" s="45" t="s">
        <v>133</v>
      </c>
    </row>
    <row r="4" spans="1:18" x14ac:dyDescent="0.2">
      <c r="A4" s="47" t="s">
        <v>134</v>
      </c>
    </row>
    <row r="6" spans="1:18" x14ac:dyDescent="0.2">
      <c r="A6" s="48"/>
    </row>
    <row r="7" spans="1:18" x14ac:dyDescent="0.2">
      <c r="A7" s="48" t="s">
        <v>135</v>
      </c>
    </row>
    <row r="8" spans="1:18" x14ac:dyDescent="0.2">
      <c r="A8" s="48"/>
    </row>
    <row r="9" spans="1:18" x14ac:dyDescent="0.2">
      <c r="A9" s="48"/>
    </row>
    <row r="10" spans="1:18" x14ac:dyDescent="0.2">
      <c r="A10" s="48"/>
    </row>
    <row r="11" spans="1:18" x14ac:dyDescent="0.2">
      <c r="A11" s="48"/>
    </row>
    <row r="13" spans="1:18" s="49" customFormat="1" x14ac:dyDescent="0.2">
      <c r="B13" s="50" t="s">
        <v>136</v>
      </c>
      <c r="R13" s="51" t="s">
        <v>137</v>
      </c>
    </row>
    <row r="14" spans="1:18" s="49" customFormat="1" x14ac:dyDescent="0.2"/>
    <row r="15" spans="1:18" s="49" customFormat="1" x14ac:dyDescent="0.2">
      <c r="A15" s="52" t="s">
        <v>138</v>
      </c>
      <c r="F15" s="52" t="s">
        <v>139</v>
      </c>
      <c r="L15" s="53" t="s">
        <v>140</v>
      </c>
      <c r="R15" s="54" t="s">
        <v>141</v>
      </c>
    </row>
    <row r="17" spans="1:21" x14ac:dyDescent="0.2">
      <c r="A17" s="48"/>
      <c r="F17" s="48"/>
      <c r="L17" s="55" t="s">
        <v>142</v>
      </c>
      <c r="M17" s="55" t="s">
        <v>143</v>
      </c>
      <c r="R17" s="48"/>
      <c r="U17" s="48"/>
    </row>
    <row r="18" spans="1:21" x14ac:dyDescent="0.2">
      <c r="A18" s="48"/>
      <c r="F18" s="48"/>
      <c r="L18" s="56"/>
      <c r="M18" s="56"/>
      <c r="R18" s="48"/>
    </row>
    <row r="19" spans="1:21" x14ac:dyDescent="0.2">
      <c r="A19" s="48"/>
      <c r="F19" s="48"/>
      <c r="R19" s="48"/>
    </row>
    <row r="20" spans="1:21" x14ac:dyDescent="0.2">
      <c r="A20" s="48"/>
      <c r="F20" s="48"/>
      <c r="L20" s="48" t="s">
        <v>144</v>
      </c>
      <c r="R20" s="48"/>
    </row>
    <row r="21" spans="1:21" x14ac:dyDescent="0.2">
      <c r="A21" s="48"/>
      <c r="F21" s="48"/>
      <c r="R21" s="48"/>
    </row>
    <row r="22" spans="1:21" x14ac:dyDescent="0.2">
      <c r="A22" s="48"/>
      <c r="F22" s="48"/>
      <c r="R22" s="48"/>
    </row>
    <row r="23" spans="1:21" x14ac:dyDescent="0.2">
      <c r="A23" s="48"/>
      <c r="F23" s="48"/>
      <c r="R23" s="48"/>
    </row>
    <row r="24" spans="1:21" x14ac:dyDescent="0.2">
      <c r="A24" s="48"/>
      <c r="F24" s="48"/>
      <c r="R24" s="48"/>
    </row>
    <row r="25" spans="1:21" x14ac:dyDescent="0.2">
      <c r="A25" s="48"/>
      <c r="F25" s="48"/>
      <c r="R25" s="48"/>
    </row>
    <row r="26" spans="1:21" x14ac:dyDescent="0.2">
      <c r="A26" s="48"/>
      <c r="F26" s="48"/>
      <c r="R26" s="48"/>
    </row>
    <row r="27" spans="1:21" x14ac:dyDescent="0.2">
      <c r="A27" s="48"/>
      <c r="F27" s="48"/>
      <c r="R27" s="48"/>
      <c r="S27" s="48"/>
    </row>
    <row r="28" spans="1:21" x14ac:dyDescent="0.2">
      <c r="A28" s="48"/>
      <c r="F28" s="48"/>
      <c r="R28" s="48"/>
    </row>
    <row r="29" spans="1:21" x14ac:dyDescent="0.2">
      <c r="A29" s="48"/>
      <c r="F29" s="48"/>
      <c r="R29" s="48"/>
    </row>
    <row r="30" spans="1:21" x14ac:dyDescent="0.2">
      <c r="A30" s="48"/>
      <c r="F30" s="48"/>
      <c r="R30" s="48"/>
    </row>
    <row r="31" spans="1:21" x14ac:dyDescent="0.2">
      <c r="A31" s="48"/>
      <c r="F31" s="48"/>
      <c r="R31" s="48"/>
    </row>
    <row r="32" spans="1:21" x14ac:dyDescent="0.2">
      <c r="A32" s="48"/>
      <c r="F32" s="48"/>
      <c r="R32" s="48"/>
    </row>
    <row r="33" spans="1:18" x14ac:dyDescent="0.2">
      <c r="A33" s="48"/>
      <c r="F33" s="48"/>
      <c r="R33" s="48"/>
    </row>
    <row r="34" spans="1:18" x14ac:dyDescent="0.2">
      <c r="A34" s="48"/>
      <c r="F34" s="48"/>
      <c r="R34" s="48"/>
    </row>
    <row r="35" spans="1:18" x14ac:dyDescent="0.2">
      <c r="A35" s="48"/>
      <c r="F35" s="48"/>
      <c r="R35" s="48"/>
    </row>
    <row r="36" spans="1:18" x14ac:dyDescent="0.2">
      <c r="A36" s="48"/>
      <c r="F36" s="48"/>
      <c r="R36" s="48"/>
    </row>
    <row r="37" spans="1:18" x14ac:dyDescent="0.2">
      <c r="A37" s="48"/>
      <c r="F37" s="48"/>
      <c r="R37" s="48"/>
    </row>
    <row r="38" spans="1:18" x14ac:dyDescent="0.2">
      <c r="A38" s="48"/>
      <c r="F38" s="48"/>
      <c r="R38" s="48"/>
    </row>
    <row r="39" spans="1:18" x14ac:dyDescent="0.2">
      <c r="A39" s="48"/>
      <c r="F39" s="48"/>
      <c r="R39" s="48"/>
    </row>
    <row r="40" spans="1:18" x14ac:dyDescent="0.2">
      <c r="F40" s="48"/>
      <c r="R40" s="48"/>
    </row>
    <row r="41" spans="1:18" x14ac:dyDescent="0.2">
      <c r="R41" s="48"/>
    </row>
    <row r="42" spans="1:18" x14ac:dyDescent="0.2">
      <c r="R42" s="48"/>
    </row>
    <row r="43" spans="1:18" x14ac:dyDescent="0.2">
      <c r="R43" s="48"/>
    </row>
    <row r="44" spans="1:18" x14ac:dyDescent="0.2">
      <c r="R44" s="48"/>
    </row>
    <row r="45" spans="1:18" x14ac:dyDescent="0.2">
      <c r="R45" s="48"/>
    </row>
    <row r="46" spans="1:18" x14ac:dyDescent="0.2">
      <c r="R46" s="4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Hyundai Kia</vt:lpstr>
      <vt:lpstr>(EDR Title)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SKINNY</dc:creator>
  <cp:lastModifiedBy>Dave Little</cp:lastModifiedBy>
  <cp:lastPrinted>2015-02-26T00:08:13Z</cp:lastPrinted>
  <dcterms:created xsi:type="dcterms:W3CDTF">2013-04-11T15:41:32Z</dcterms:created>
  <dcterms:modified xsi:type="dcterms:W3CDTF">2019-09-13T18:32:26Z</dcterms:modified>
</cp:coreProperties>
</file>